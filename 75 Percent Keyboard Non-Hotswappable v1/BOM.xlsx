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<sst xmlns="http://schemas.openxmlformats.org/spreadsheetml/2006/main" count="24" uniqueCount="24">
  <si>
    <t>Part</t>
  </si>
  <si>
    <t>Description</t>
  </si>
  <si>
    <t>Units/Packet</t>
  </si>
  <si>
    <t xml:space="preserve">Cost (AUD)/Packet</t>
  </si>
  <si>
    <t xml:space="preserve">Shipping (AUD)</t>
  </si>
  <si>
    <t xml:space="preserve">Total Cost/Packet</t>
  </si>
  <si>
    <t xml:space="preserve">Unit Cost</t>
  </si>
  <si>
    <t>Units/Keyboard</t>
  </si>
  <si>
    <t>Cost/Keyboard</t>
  </si>
  <si>
    <t>Link</t>
  </si>
  <si>
    <t xml:space="preserve">PCB (112x290)</t>
  </si>
  <si>
    <t xml:space="preserve">Cost of Manufacture (without assembly)</t>
  </si>
  <si>
    <t>JLCPCB</t>
  </si>
  <si>
    <t>LEDs</t>
  </si>
  <si>
    <t>https://www.aliexpress.com/item/1005004212435986.html?spm=a2g0o.detail.0.0.5a91305bH39vGm&amp;gps-id=pcDetailTopMoreOtherSeller&amp;scm=1007.40050.362094.0&amp;scm_id=1007.40050.362094.0&amp;scm-url=1007.40050.362094.0&amp;pvid=bf1ffcff-527b-4a3d-8fed-2acd00bd0ba0&amp;_t=gps-id:pcDetailTopMoreOtherSeller,scm-url:1007.40050.362094.0,pvid:bf1ffcff-527b-4a3d-8fed-2acd00bd0ba0,tpp_buckets:668%232846%238113%231998&amp;pdp_npi=4%40dis%21AUD%2113.44%218.6%21%21%218.70%21%21%402101d69b17005611298627560e7817%2112000028398192234%21rec%21AU%213519855202%21</t>
  </si>
  <si>
    <t xml:space="preserve">Switch Sockets</t>
  </si>
  <si>
    <t>https://www.aliexpress.com/item/1005004290562374.html?spm=a2g0o.detail.0.0.5f64zq7Czq7C2N&amp;gps-id=pcDetailTopMoreOtherSeller&amp;scm=1007.40050.362094.0&amp;scm_id=1007.40050.362094.0&amp;scm-url=1007.40050.362094.0&amp;pvid=8b9c40dd-4449-4594-bdae-36438d62e7e2&amp;_t=gps-id:pcDetailTopMoreOtherSeller,scm-url:1007.40050.362094.0,pvid:8b9c40dd-4449-4594-bdae-36438d62e7e2,tpp_buckets:668%232846%238112%231997&amp;pdp_npi=4%40dis%21AUD%2115.61%217.34%21%21%2110.10%21%21%402101d69b17005612641221581e7817%2112000028647038703%21rec%21AU%213519855202%21</t>
  </si>
  <si>
    <t>Atmega32U4</t>
  </si>
  <si>
    <t>https://www.aliexpress.com/item/1005006140642474.html?spm=a2g0o.productlist.main.29.13e32068muH5ET&amp;algo_pvid=25d0f713-fb3e-43a0-8278-a78035b6985e&amp;aem_p4p_detail=202311210211057787704182629000000218479&amp;algo_exp_id=25d0f713-fb3e-43a0-8278-a78035b6985e-14&amp;pdp_npi=4%40dis%21AUD%2115.15%2115.15%21%21%2170.00%21%21%402103247017005614653033863e8ec3%2112000035941792239%21sea%21AU%213519855202%21&amp;curPageLogUid=EeYLnAB3qvgj&amp;search_p4p_id=202311210211057787704182629000000218479_3</t>
  </si>
  <si>
    <t xml:space="preserve">USB C connector</t>
  </si>
  <si>
    <t>https://www.lcsc.com/product-detail/USB-Type-C_Korean-Hroparts-Elec-TYPE-C-31-M-12_C165948.html</t>
  </si>
  <si>
    <t>Oscillator</t>
  </si>
  <si>
    <t>https://www.lcsc.com/product-detail/Crystals_SST-S503220M20PF10PPM2P_C7568738.html</t>
  </si>
  <si>
    <t xml:space="preserve">Total Cost of Board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</si>
</sst>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&quot;$&quot;#,##0.000_);[Red]&quot;(&quot;&quot;$&quot;#,##0.000&quot;)&quot;"/>
    <numFmt numFmtId="161" formatCode="\$#,##0.00_);[Red](\$#,##0.00)"/>
    <numFmt numFmtId="162" formatCode="[$$-9]#,##0.00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/>
    <xf fontId="0" fillId="0" borderId="0" numFmtId="160" xfId="0" applyNumberFormat="1"/>
    <xf fontId="0" fillId="0" borderId="0" numFmtId="161" xfId="0" applyNumberFormat="1"/>
    <xf fontId="0" fillId="0" borderId="0" numFmtId="162" xfId="0" applyNumberFormat="1"/>
    <xf fontId="2" fillId="0" borderId="0" numFmtId="0" xfId="0" applyFont="1"/>
    <xf fontId="1" fillId="0" borderId="0" numFmtId="161" xfId="0" applyNumberFormat="1" applyFont="1"/>
    <xf fontId="1" fillId="0" borderId="0" numFmtId="162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10</xdr:col>
      <xdr:colOff>323848</xdr:colOff>
      <xdr:row>1</xdr:row>
      <xdr:rowOff>38098</xdr:rowOff>
    </xdr:from>
    <xdr:to>
      <xdr:col>15</xdr:col>
      <xdr:colOff>314323</xdr:colOff>
      <xdr:row>5</xdr:row>
      <xdr:rowOff>142872</xdr:rowOff>
    </xdr:to>
    <xdr:sp>
      <xdr:nvSpPr>
        <xdr:cNvPr id="578018360" name=""/>
        <xdr:cNvSpPr txBox="1"/>
      </xdr:nvSpPr>
      <xdr:spPr bwMode="auto">
        <a:xfrm flipH="0" flipV="0">
          <a:off x="18659473" y="219073"/>
          <a:ext cx="3038473" cy="828674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/>
            <a:t>Number bought is assumed for manufacturing 20 boards</a:t>
          </a:r>
          <a:endParaRPr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6" Type="http://schemas.openxmlformats.org/officeDocument/2006/relationships/drawing" Target="../drawings/drawing1.xml"/><Relationship  Id="rId5" Type="http://schemas.openxmlformats.org/officeDocument/2006/relationships/hyperlink" Target="https://www.lcsc.com/product-detail/Crystals_SST-S503220M20PF10PPM2P_C7568738.html" TargetMode="External"/><Relationship  Id="rId4" Type="http://schemas.openxmlformats.org/officeDocument/2006/relationships/hyperlink" Target="https://www.lcsc.com/product-detail/USB-Type-C_Korean-Hroparts-Elec-TYPE-C-31-M-12_C165948.html" TargetMode="External"/><Relationship  Id="rId3" Type="http://schemas.openxmlformats.org/officeDocument/2006/relationships/hyperlink" Target="https://www.aliexpress.com/item/1005006140642474.html?spm=a2g0o.productlist.main.29.13e32068muH5ET&amp;algo_pvid=25d0f713-fb3e-43a0-8278-a78035b6985e&amp;aem_p4p_detail=202311210211057787704182629000000218479&amp;algo_exp_id=25d0f713-fb3e-43a0-8278-a78035b6985e-14&amp;pdp_npi=4%40dis%21AUD%2115.15%2115.15%21%21%2170.00%21%21%402103247017005614653033863e8ec3%2112000035941792239%21sea%21AU%213519855202%21&amp;curPageLogUid=EeYLnAB3qvgj&amp;search_p4p_id=202311210211057787704182629000000218479_3" TargetMode="External"/><Relationship  Id="rId2" Type="http://schemas.openxmlformats.org/officeDocument/2006/relationships/hyperlink" Target="https://www.aliexpress.com/item/1005004290562374.html?spm=a2g0o.detail.0.0.5f64zq7Czq7C2N&amp;gps-id=pcDetailTopMoreOtherSeller&amp;scm=1007.40050.362094.0&amp;scm_id=1007.40050.362094.0&amp;scm-url=1007.40050.362094.0&amp;pvid=8b9c40dd-4449-4594-bdae-36438d62e7e2&amp;_t=gps-id:pcDetailTopMoreOtherSeller,scm-url:1007.40050.362094.0,pvid:8b9c40dd-4449-4594-bdae-36438d62e7e2,tpp_buckets:668%232846%238112%231997&amp;pdp_npi=4%40dis%21AUD%2115.61%217.34%21%21%2110.10%21%21%402101d69b17005612641221581e7817%2112000028647038703%21rec%21AU%213519855202%21" TargetMode="External"/><Relationship  Id="rId1" Type="http://schemas.openxmlformats.org/officeDocument/2006/relationships/hyperlink" Target="https://www.aliexpress.com/item/1005004212435986.html?spm=a2g0o.detail.0.0.5a91305bH39vGm&amp;gps-id=pcDetailTopMoreOtherSeller&amp;scm=1007.40050.362094.0&amp;scm_id=1007.40050.362094.0&amp;scm-url=1007.40050.362094.0&amp;pvid=bf1ffcff-527b-4a3d-8fed-2acd00bd0ba0&amp;_t=gps-id:pcDetailTopMoreOtherSeller,scm-url:1007.40050.362094.0,pvid:bf1ffcff-527b-4a3d-8fed-2acd00bd0ba0,tpp_buckets:668%232846%238113%231998&amp;pdp_npi=4%40dis%21AUD%2113.44%218.6%21%21%218.70%21%21%402101d69b17005611298627560e7817%2112000028398192234%21rec%21AU%213519855202%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28125"/>
    <col customWidth="1" min="2" max="2" width="57.421875"/>
    <col bestFit="1" min="3" max="3" width="15.8515625"/>
    <col customWidth="1" min="4" max="7" width="19.00390625"/>
    <col customWidth="1" min="8" max="8" width="17.7109375"/>
    <col customWidth="1" min="9" max="9" width="16.57421875"/>
    <col customWidth="1" min="10" max="10" width="71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>
      <c r="A2" t="s">
        <v>10</v>
      </c>
      <c r="B2" t="s">
        <v>11</v>
      </c>
      <c r="C2">
        <v>20</v>
      </c>
      <c r="D2" s="2">
        <v>79.849999999999994</v>
      </c>
      <c r="E2" s="2">
        <v>55.020000000000003</v>
      </c>
      <c r="F2" s="3">
        <f t="shared" ref="F2:F7" si="0">D2+E2</f>
        <v>134.87</v>
      </c>
      <c r="G2" s="3">
        <f t="shared" ref="G2:G7" si="1">F2/C2</f>
        <v>6.7435</v>
      </c>
      <c r="H2">
        <v>1</v>
      </c>
      <c r="I2" s="4">
        <f t="shared" ref="I2:I7" si="2">G2*H2</f>
        <v>6.7435</v>
      </c>
      <c r="J2" t="s">
        <v>12</v>
      </c>
    </row>
    <row r="3" ht="14.25">
      <c r="A3" t="s">
        <v>13</v>
      </c>
      <c r="C3">
        <v>2000</v>
      </c>
      <c r="D3" s="2">
        <v>149.47999999999999</v>
      </c>
      <c r="E3" s="2">
        <v>0</v>
      </c>
      <c r="F3" s="3">
        <f t="shared" si="0"/>
        <v>149.47999999999999</v>
      </c>
      <c r="G3" s="3">
        <f t="shared" si="1"/>
        <v>0.074740000000000001</v>
      </c>
      <c r="H3">
        <v>84</v>
      </c>
      <c r="I3" s="4">
        <f t="shared" si="2"/>
        <v>6.2781599999999997</v>
      </c>
      <c r="J3" s="5" t="s">
        <v>14</v>
      </c>
    </row>
    <row r="4" ht="14.25">
      <c r="A4" t="s">
        <v>15</v>
      </c>
      <c r="C4">
        <v>110</v>
      </c>
      <c r="D4" s="2">
        <v>16.649999999999999</v>
      </c>
      <c r="E4" s="2">
        <v>1.1699999999999999</v>
      </c>
      <c r="F4" s="3">
        <f t="shared" si="0"/>
        <v>17.82</v>
      </c>
      <c r="G4" s="3">
        <f t="shared" si="1"/>
        <v>0.16200000000000001</v>
      </c>
      <c r="H4">
        <v>84</v>
      </c>
      <c r="I4" s="4">
        <f t="shared" si="2"/>
        <v>13.608000000000001</v>
      </c>
      <c r="J4" s="5" t="s">
        <v>16</v>
      </c>
    </row>
    <row r="5" ht="14.25">
      <c r="A5" t="s">
        <v>17</v>
      </c>
      <c r="C5">
        <v>10</v>
      </c>
      <c r="D5" s="2">
        <v>15.15</v>
      </c>
      <c r="E5" s="2">
        <v>0</v>
      </c>
      <c r="F5" s="3">
        <f t="shared" si="0"/>
        <v>15.15</v>
      </c>
      <c r="G5" s="3">
        <f t="shared" si="1"/>
        <v>1.5150000000000001</v>
      </c>
      <c r="H5">
        <v>1</v>
      </c>
      <c r="I5" s="4">
        <f t="shared" si="2"/>
        <v>1.5150000000000001</v>
      </c>
      <c r="J5" s="5" t="s">
        <v>18</v>
      </c>
    </row>
    <row r="6" ht="14.25">
      <c r="A6" t="s">
        <v>19</v>
      </c>
      <c r="C6">
        <v>1</v>
      </c>
      <c r="D6" s="2">
        <v>0.25</v>
      </c>
      <c r="E6" s="2">
        <v>0</v>
      </c>
      <c r="F6" s="3">
        <f t="shared" si="0"/>
        <v>0.25</v>
      </c>
      <c r="G6" s="3">
        <f t="shared" si="1"/>
        <v>0.25</v>
      </c>
      <c r="H6">
        <v>1</v>
      </c>
      <c r="I6" s="4">
        <f t="shared" si="2"/>
        <v>0.25</v>
      </c>
      <c r="J6" s="5" t="s">
        <v>20</v>
      </c>
    </row>
    <row r="7" ht="14.25">
      <c r="A7" t="s">
        <v>21</v>
      </c>
      <c r="C7">
        <v>1</v>
      </c>
      <c r="D7" s="2">
        <v>0.25</v>
      </c>
      <c r="E7" s="2">
        <v>0</v>
      </c>
      <c r="F7" s="3">
        <f t="shared" si="0"/>
        <v>0.25</v>
      </c>
      <c r="G7" s="3">
        <f t="shared" si="1"/>
        <v>0.25</v>
      </c>
      <c r="H7">
        <v>1</v>
      </c>
      <c r="I7" s="4">
        <f t="shared" si="2"/>
        <v>0.25</v>
      </c>
      <c r="J7" s="5" t="s">
        <v>22</v>
      </c>
    </row>
    <row r="8" s="1" customFormat="1" ht="14.25">
      <c r="A8" s="1" t="s">
        <v>23</v>
      </c>
      <c r="F8" s="6">
        <f>SUM(F2:F7)</f>
        <v>317.81999999999999</v>
      </c>
      <c r="H8" s="1"/>
      <c r="I8" s="7">
        <f>SUM(I2:I7)</f>
        <v>28.644660000000002</v>
      </c>
    </row>
    <row r="9" ht="14.25"/>
  </sheetData>
  <hyperlinks>
    <hyperlink r:id="rId1" ref="J3"/>
    <hyperlink r:id="rId2" ref="J4"/>
    <hyperlink r:id="rId3" ref="J5"/>
    <hyperlink r:id="rId4" ref="J6"/>
    <hyperlink r:id="rId5" ref="J7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ONLYOFFICE/7.5.0.127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2023-11-21T10:51:37Z</dcterms:modified>
</cp:coreProperties>
</file>